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FQ" sheetId="2" state="visible" r:id="rId2"/>
    <sheet xmlns:r="http://schemas.openxmlformats.org/officeDocument/2006/relationships" name="Bid Comparison" sheetId="3" state="visible" r:id="rId3"/>
    <sheet xmlns:r="http://schemas.openxmlformats.org/officeDocument/2006/relationships" name="Clar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05091F"/>
      <sz val="18"/>
    </font>
    <font>
      <name val="Arial"/>
      <color rgb="004F5D7A"/>
      <sz val="10"/>
    </font>
    <font>
      <name val="Arial"/>
      <b val="1"/>
      <color rgb="0005091F"/>
      <sz val="11"/>
    </font>
    <font>
      <name val="Arial"/>
      <b val="1"/>
      <color rgb="000047FF"/>
      <sz val="10"/>
    </font>
    <font>
      <name val="Arial"/>
      <i val="1"/>
      <color rgb="004F5D7A"/>
      <sz val="9"/>
    </font>
    <font>
      <name val="Arial"/>
      <i val="1"/>
      <color rgb="004F5D7A"/>
      <sz val="8"/>
    </font>
    <font>
      <name val="Arial"/>
      <b val="1"/>
      <color rgb="00FFFFFF"/>
      <sz val="11"/>
    </font>
    <font>
      <name val="Arial"/>
      <color rgb="0005091F"/>
      <sz val="10"/>
    </font>
    <font>
      <name val="Arial"/>
      <b val="1"/>
      <color rgb="004F5D7A"/>
      <sz val="9"/>
    </font>
    <font>
      <name val="Arial"/>
      <b val="1"/>
      <color rgb="0005091F"/>
      <sz val="9"/>
    </font>
    <font>
      <name val="Arial"/>
      <b val="1"/>
      <color rgb="0005091F"/>
      <sz val="10"/>
    </font>
  </fonts>
  <fills count="5">
    <fill>
      <patternFill/>
    </fill>
    <fill>
      <patternFill patternType="gray125"/>
    </fill>
    <fill>
      <patternFill patternType="solid">
        <fgColor rgb="0005091F"/>
      </patternFill>
    </fill>
    <fill>
      <patternFill patternType="solid">
        <fgColor rgb="00FFF8E1"/>
      </patternFill>
    </fill>
    <fill>
      <patternFill patternType="solid">
        <fgColor rgb="00EEF2FA"/>
      </patternFill>
    </fill>
  </fills>
  <borders count="6">
    <border>
      <left/>
      <right/>
      <top/>
      <bottom/>
      <diagonal/>
    </border>
    <border>
      <left style="thin">
        <color rgb="00D5DEEE"/>
      </left>
      <right style="thin">
        <color rgb="00D5DEEE"/>
      </right>
      <top style="thin">
        <color rgb="00D5DEEE"/>
      </top>
      <bottom style="thin">
        <color rgb="00D5DEEE"/>
      </bottom>
    </border>
    <border>
      <left/>
      <right/>
      <top style="thin">
        <color rgb="00D5DEEE"/>
      </top>
      <bottom/>
      <diagonal/>
    </border>
    <border>
      <left/>
      <right style="thin">
        <color rgb="00D5DEEE"/>
      </right>
      <top style="thin">
        <color rgb="00D5DEEE"/>
      </top>
      <bottom/>
      <diagonal/>
    </border>
    <border>
      <left/>
      <right style="thin">
        <color rgb="00D5DEEE"/>
      </right>
      <top style="thin">
        <color rgb="00D5DEEE"/>
      </top>
      <bottom style="thin">
        <color rgb="00D5DEEE"/>
      </bottom>
      <diagonal/>
    </border>
    <border>
      <left/>
      <right/>
      <top style="thin">
        <color rgb="00D5DEEE"/>
      </top>
      <bottom style="thin">
        <color rgb="00D5DE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8" fillId="3" borderId="1" applyAlignment="1" pivotButton="0" quotePrefix="0" xfId="0">
      <alignment vertical="top" wrapText="1"/>
    </xf>
    <xf numFmtId="0" fontId="9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0" fontId="11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9" fontId="8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2" fontId="8" fillId="0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8E8"/>
        </patternFill>
      </fill>
    </dxf>
    <dxf>
      <font>
        <b val="1"/>
        <color rgb="0011804B"/>
      </font>
      <fill>
        <patternFill patternType="solid">
          <fgColor rgb="00E3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28" customHeight="1">
      <c r="A1" s="1" t="inlineStr">
        <is>
          <t>Electrical Equipment RFQ &amp; Bid Scorecard</t>
        </is>
      </c>
    </row>
    <row r="2">
      <c r="A2" s="2" t="inlineStr">
        <is>
          <t>Get quotes you can compare, then score them the same way every time.</t>
        </is>
      </c>
    </row>
    <row r="4">
      <c r="B4" s="3" t="inlineStr">
        <is>
          <t>1. Fill in the RFQ sheet</t>
        </is>
      </c>
    </row>
    <row r="5" ht="30" customHeight="1">
      <c r="B5" s="4" t="inlineStr">
        <is>
          <t>Project details, the equipment list and your dates. Send it to every bidder with your specification and drawings.</t>
        </is>
      </c>
    </row>
    <row r="7">
      <c r="B7" s="3" t="inlineStr">
        <is>
          <t>2. Ask every bidder for the same things</t>
        </is>
      </c>
    </row>
    <row r="8" ht="30" customHeight="1">
      <c r="B8" s="4" t="inlineStr">
        <is>
          <t>The RFQ lists what each quote must state: price basis, lead time from approved drawings, tests, freight, warranty and exceptions. That is what makes quotes comparable.</t>
        </is>
      </c>
    </row>
    <row r="10">
      <c r="B10" s="3" t="inlineStr">
        <is>
          <t>3. Log questions on the Clarifications sheet</t>
        </is>
      </c>
    </row>
    <row r="11" ht="30" customHeight="1">
      <c r="B11" s="4" t="inlineStr">
        <is>
          <t>Send the same answer to every bidder so nobody gains an advantage, and note any impact on price or lead time.</t>
        </is>
      </c>
    </row>
    <row r="13">
      <c r="B13" s="3" t="inlineStr">
        <is>
          <t>4. Enter the quotes on the Bid Comparison sheet</t>
        </is>
      </c>
    </row>
    <row r="14" ht="30" customHeight="1">
      <c r="B14" s="4" t="inlineStr">
        <is>
          <t>Yellow cells are inputs. Price, lead time and warranty score automatically; give the other criteria a 1–5 score.</t>
        </is>
      </c>
    </row>
    <row r="16">
      <c r="B16" s="3" t="inlineStr">
        <is>
          <t>5. Check the weights</t>
        </is>
      </c>
    </row>
    <row r="17" ht="30" customHeight="1">
      <c r="B17" s="4" t="inlineStr">
        <is>
          <t>Weights must add up to 100%. Change them to suit the project: a schedule-critical job may weight lead time above price.</t>
        </is>
      </c>
    </row>
    <row r="19">
      <c r="B19" s="3" t="inlineStr">
        <is>
          <t>6. Read the result</t>
        </is>
      </c>
    </row>
    <row r="20" ht="30" customHeight="1">
      <c r="B20" s="4" t="inlineStr">
        <is>
          <t>Each bidder gets a weighted score out of 100 and a rank. Use it to support the decision, not replace judgement on technical risk.</t>
        </is>
      </c>
    </row>
    <row r="22">
      <c r="B22" s="5" t="inlineStr">
        <is>
          <t>Example data: three example bidders are filled in on the Bid Comparison sheet so you can see how scoring works. Overwrite or clear them before use.</t>
        </is>
      </c>
    </row>
    <row r="24">
      <c r="B24" s="6" t="inlineStr">
        <is>
          <t>This workbook is a decision aid. Check every quote against your specification, and follow your organization’s procurement policy.</t>
        </is>
      </c>
    </row>
    <row r="26">
      <c r="A26" s="7" t="inlineStr">
        <is>
          <t>Free resource from CANDRON Energy Inc. · switchgear, switchboards and transformers designed, built and tested in Toronto · candron.com · +1 (647) 616-2595</t>
        </is>
      </c>
    </row>
  </sheetData>
  <mergeCells count="1">
    <mergeCell ref="A26:B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30" customWidth="1" min="5" max="5"/>
    <col width="22" customWidth="1" min="6" max="6"/>
    <col width="20" customWidth="1" min="7" max="7"/>
    <col width="28" customWidth="1" min="8" max="8"/>
  </cols>
  <sheetData>
    <row r="1" ht="28" customHeight="1">
      <c r="A1" s="1" t="inlineStr">
        <is>
          <t>Request for Quotation: Electrical Equipment</t>
        </is>
      </c>
    </row>
    <row r="2">
      <c r="A2" s="2" t="inlineStr">
        <is>
          <t>Send this sheet with your specification and drawings. Ask each bidder to answer every line in section C.</t>
        </is>
      </c>
    </row>
    <row r="4" ht="22" customHeight="1">
      <c r="A4" s="8" t="inlineStr">
        <is>
          <t>A · Project &amp; contacts</t>
        </is>
      </c>
    </row>
    <row r="5" ht="20" customHeight="1">
      <c r="A5" s="9" t="inlineStr">
        <is>
          <t>Project name</t>
        </is>
      </c>
      <c r="B5" s="10" t="n"/>
      <c r="C5" s="11" t="n"/>
      <c r="E5" s="12" t="inlineStr">
        <is>
          <t>Location (city, province)</t>
        </is>
      </c>
      <c r="F5" s="11" t="n"/>
    </row>
    <row r="6" ht="20" customHeight="1">
      <c r="A6" s="9" t="inlineStr">
        <is>
          <t>Owner</t>
        </is>
      </c>
      <c r="B6" s="10" t="n"/>
      <c r="C6" s="11" t="n"/>
      <c r="E6" s="12" t="inlineStr">
        <is>
          <t>Engineer of record</t>
        </is>
      </c>
      <c r="F6" s="11" t="n"/>
    </row>
    <row r="7" ht="20" customHeight="1">
      <c r="A7" s="9" t="inlineStr">
        <is>
          <t>Your company</t>
        </is>
      </c>
      <c r="B7" s="10" t="n"/>
      <c r="C7" s="11" t="n"/>
      <c r="E7" s="12" t="inlineStr">
        <is>
          <t>Contact name</t>
        </is>
      </c>
      <c r="F7" s="11" t="n"/>
    </row>
    <row r="8" ht="20" customHeight="1">
      <c r="A8" s="9" t="inlineStr">
        <is>
          <t>Email</t>
        </is>
      </c>
      <c r="B8" s="10" t="n"/>
      <c r="C8" s="11" t="n"/>
      <c r="E8" s="12" t="inlineStr">
        <is>
          <t>Phone</t>
        </is>
      </c>
      <c r="F8" s="11" t="n"/>
    </row>
    <row r="9" ht="20" customHeight="1">
      <c r="A9" s="9" t="inlineStr">
        <is>
          <t>RFQ issue date</t>
        </is>
      </c>
      <c r="B9" s="10" t="n"/>
      <c r="C9" s="11" t="n"/>
      <c r="E9" s="12" t="inlineStr">
        <is>
          <t>Quotes due</t>
        </is>
      </c>
      <c r="F9" s="11" t="n"/>
    </row>
    <row r="10" ht="20" customHeight="1">
      <c r="A10" s="9" t="inlineStr">
        <is>
          <t>Required on-site date</t>
        </is>
      </c>
      <c r="B10" s="10" t="n"/>
      <c r="C10" s="11" t="n"/>
      <c r="E10" s="12" t="inlineStr">
        <is>
          <t>Target energization date</t>
        </is>
      </c>
      <c r="F10" s="11" t="n"/>
    </row>
    <row r="12" ht="22" customHeight="1">
      <c r="A12" s="8" t="inlineStr">
        <is>
          <t>B · Equipment scope</t>
        </is>
      </c>
    </row>
    <row r="13" ht="30" customHeight="1">
      <c r="A13" s="13" t="inlineStr">
        <is>
          <t>Item</t>
        </is>
      </c>
      <c r="B13" s="13" t="inlineStr">
        <is>
          <t>Tag</t>
        </is>
      </c>
      <c r="C13" s="13" t="inlineStr">
        <is>
          <t>Equipment type</t>
        </is>
      </c>
      <c r="D13" s="13" t="inlineStr">
        <is>
          <t>Qty</t>
        </is>
      </c>
      <c r="E13" s="13" t="inlineStr">
        <is>
          <t>Key ratings (V, A or kVA, kA, BIL)</t>
        </is>
      </c>
      <c r="F13" s="13" t="inlineStr">
        <is>
          <t>Enclosure / location</t>
        </is>
      </c>
      <c r="G13" s="13" t="inlineStr">
        <is>
          <t>Standards</t>
        </is>
      </c>
      <c r="H13" s="13" t="inlineStr">
        <is>
          <t>Notes</t>
        </is>
      </c>
    </row>
    <row r="14" ht="20" customHeight="1">
      <c r="A14" s="14" t="n">
        <v>1</v>
      </c>
      <c r="B14" s="11" t="n"/>
      <c r="C14" s="11" t="n"/>
      <c r="D14" s="11" t="n"/>
      <c r="E14" s="11" t="n"/>
      <c r="F14" s="11" t="n"/>
      <c r="G14" s="11" t="n"/>
      <c r="H14" s="11" t="n"/>
    </row>
    <row r="15" ht="20" customHeight="1">
      <c r="A15" s="14" t="n">
        <v>2</v>
      </c>
      <c r="B15" s="11" t="n"/>
      <c r="C15" s="11" t="n"/>
      <c r="D15" s="11" t="n"/>
      <c r="E15" s="11" t="n"/>
      <c r="F15" s="11" t="n"/>
      <c r="G15" s="11" t="n"/>
      <c r="H15" s="11" t="n"/>
    </row>
    <row r="16" ht="20" customHeight="1">
      <c r="A16" s="14" t="n">
        <v>3</v>
      </c>
      <c r="B16" s="11" t="n"/>
      <c r="C16" s="11" t="n"/>
      <c r="D16" s="11" t="n"/>
      <c r="E16" s="11" t="n"/>
      <c r="F16" s="11" t="n"/>
      <c r="G16" s="11" t="n"/>
      <c r="H16" s="11" t="n"/>
    </row>
    <row r="17" ht="20" customHeight="1">
      <c r="A17" s="14" t="n">
        <v>4</v>
      </c>
      <c r="B17" s="11" t="n"/>
      <c r="C17" s="11" t="n"/>
      <c r="D17" s="11" t="n"/>
      <c r="E17" s="11" t="n"/>
      <c r="F17" s="11" t="n"/>
      <c r="G17" s="11" t="n"/>
      <c r="H17" s="11" t="n"/>
    </row>
    <row r="18" ht="20" customHeight="1">
      <c r="A18" s="14" t="n">
        <v>5</v>
      </c>
      <c r="B18" s="11" t="n"/>
      <c r="C18" s="11" t="n"/>
      <c r="D18" s="11" t="n"/>
      <c r="E18" s="11" t="n"/>
      <c r="F18" s="11" t="n"/>
      <c r="G18" s="11" t="n"/>
      <c r="H18" s="11" t="n"/>
    </row>
    <row r="19" ht="20" customHeight="1">
      <c r="A19" s="14" t="n">
        <v>6</v>
      </c>
      <c r="B19" s="11" t="n"/>
      <c r="C19" s="11" t="n"/>
      <c r="D19" s="11" t="n"/>
      <c r="E19" s="11" t="n"/>
      <c r="F19" s="11" t="n"/>
      <c r="G19" s="11" t="n"/>
      <c r="H19" s="11" t="n"/>
    </row>
    <row r="20" ht="20" customHeight="1">
      <c r="A20" s="14" t="n">
        <v>7</v>
      </c>
      <c r="B20" s="11" t="n"/>
      <c r="C20" s="11" t="n"/>
      <c r="D20" s="11" t="n"/>
      <c r="E20" s="11" t="n"/>
      <c r="F20" s="11" t="n"/>
      <c r="G20" s="11" t="n"/>
      <c r="H20" s="11" t="n"/>
    </row>
    <row r="21" ht="20" customHeight="1">
      <c r="A21" s="14" t="n">
        <v>8</v>
      </c>
      <c r="B21" s="11" t="n"/>
      <c r="C21" s="11" t="n"/>
      <c r="D21" s="11" t="n"/>
      <c r="E21" s="11" t="n"/>
      <c r="F21" s="11" t="n"/>
      <c r="G21" s="11" t="n"/>
      <c r="H21" s="11" t="n"/>
    </row>
    <row r="23" ht="22" customHeight="1">
      <c r="A23" s="8" t="inlineStr">
        <is>
          <t>C · Every quote must state</t>
        </is>
      </c>
    </row>
    <row r="24">
      <c r="A24" s="13" t="inlineStr">
        <is>
          <t>#</t>
        </is>
      </c>
      <c r="B24" s="13" t="inlineStr">
        <is>
          <t>Item</t>
        </is>
      </c>
      <c r="C24" s="15" t="n"/>
      <c r="D24" s="10" t="n"/>
      <c r="E24" s="13" t="inlineStr">
        <is>
          <t>Bidder’s answer</t>
        </is>
      </c>
      <c r="F24" s="15" t="n"/>
      <c r="G24" s="15" t="n"/>
      <c r="H24" s="10" t="n"/>
    </row>
    <row r="25" ht="28" customHeight="1">
      <c r="A25" s="14" t="n">
        <v>1</v>
      </c>
      <c r="B25" s="16" t="inlineStr">
        <is>
          <t>Unit and total price, in CAD, taxes excluded</t>
        </is>
      </c>
      <c r="C25" s="17" t="n"/>
      <c r="D25" s="17" t="n"/>
      <c r="E25" s="11" t="n"/>
      <c r="F25" s="17" t="n"/>
      <c r="G25" s="17" t="n"/>
      <c r="H25" s="17" t="n"/>
    </row>
    <row r="26" ht="28" customHeight="1">
      <c r="A26" s="14" t="n">
        <v>2</v>
      </c>
      <c r="B26" s="16" t="inlineStr">
        <is>
          <t>Price validity (days) and any escalation clause (e.g. metals)</t>
        </is>
      </c>
      <c r="C26" s="17" t="n"/>
      <c r="D26" s="17" t="n"/>
      <c r="E26" s="11" t="n"/>
      <c r="F26" s="17" t="n"/>
      <c r="G26" s="17" t="n"/>
      <c r="H26" s="17" t="n"/>
    </row>
    <row r="27" ht="28" customHeight="1">
      <c r="A27" s="14" t="n">
        <v>3</v>
      </c>
      <c r="B27" s="16" t="inlineStr">
        <is>
          <t>Lead time in weeks, counted from approved drawings</t>
        </is>
      </c>
      <c r="C27" s="17" t="n"/>
      <c r="D27" s="17" t="n"/>
      <c r="E27" s="11" t="n"/>
      <c r="F27" s="17" t="n"/>
      <c r="G27" s="17" t="n"/>
      <c r="H27" s="17" t="n"/>
    </row>
    <row r="28" ht="28" customHeight="1">
      <c r="A28" s="14" t="n">
        <v>4</v>
      </c>
      <c r="B28" s="16" t="inlineStr">
        <is>
          <t>Submittal drawing turnaround after purchase order (weeks)</t>
        </is>
      </c>
      <c r="C28" s="17" t="n"/>
      <c r="D28" s="17" t="n"/>
      <c r="E28" s="11" t="n"/>
      <c r="F28" s="17" t="n"/>
      <c r="G28" s="17" t="n"/>
      <c r="H28" s="17" t="n"/>
    </row>
    <row r="29" ht="28" customHeight="1">
      <c r="A29" s="14" t="n">
        <v>5</v>
      </c>
      <c r="B29" s="16" t="inlineStr">
        <is>
          <t>Tests included: routine tests, factory acceptance test, witness option</t>
        </is>
      </c>
      <c r="C29" s="17" t="n"/>
      <c r="D29" s="17" t="n"/>
      <c r="E29" s="11" t="n"/>
      <c r="F29" s="17" t="n"/>
      <c r="G29" s="17" t="n"/>
      <c r="H29" s="17" t="n"/>
    </row>
    <row r="30" ht="28" customHeight="1">
      <c r="A30" s="14" t="n">
        <v>6</v>
      </c>
      <c r="B30" s="16" t="inlineStr">
        <is>
          <t>Freight and delivery terms, including offloading and site access</t>
        </is>
      </c>
      <c r="C30" s="17" t="n"/>
      <c r="D30" s="17" t="n"/>
      <c r="E30" s="11" t="n"/>
      <c r="F30" s="17" t="n"/>
      <c r="G30" s="17" t="n"/>
      <c r="H30" s="17" t="n"/>
    </row>
    <row r="31" ht="28" customHeight="1">
      <c r="A31" s="14" t="n">
        <v>7</v>
      </c>
      <c r="B31" s="16" t="inlineStr">
        <is>
          <t>Warranty period and when it starts (shipment or energization)</t>
        </is>
      </c>
      <c r="C31" s="17" t="n"/>
      <c r="D31" s="17" t="n"/>
      <c r="E31" s="11" t="n"/>
      <c r="F31" s="17" t="n"/>
      <c r="G31" s="17" t="n"/>
      <c r="H31" s="17" t="n"/>
    </row>
    <row r="32" ht="28" customHeight="1">
      <c r="A32" s="14" t="n">
        <v>8</v>
      </c>
      <c r="B32" s="16" t="inlineStr">
        <is>
          <t>Certification: CSA, cUL or field evaluation; utility approvals if needed</t>
        </is>
      </c>
      <c r="C32" s="17" t="n"/>
      <c r="D32" s="17" t="n"/>
      <c r="E32" s="11" t="n"/>
      <c r="F32" s="17" t="n"/>
      <c r="G32" s="17" t="n"/>
      <c r="H32" s="17" t="n"/>
    </row>
    <row r="33" ht="28" customHeight="1">
      <c r="A33" s="14" t="n">
        <v>9</v>
      </c>
      <c r="B33" s="16" t="inlineStr">
        <is>
          <t>Recommended spare parts and their prices</t>
        </is>
      </c>
      <c r="C33" s="17" t="n"/>
      <c r="D33" s="17" t="n"/>
      <c r="E33" s="11" t="n"/>
      <c r="F33" s="17" t="n"/>
      <c r="G33" s="17" t="n"/>
      <c r="H33" s="17" t="n"/>
    </row>
    <row r="34" ht="28" customHeight="1">
      <c r="A34" s="14" t="n">
        <v>10</v>
      </c>
      <c r="B34" s="16" t="inlineStr">
        <is>
          <t>Start-up, commissioning or field service support offered</t>
        </is>
      </c>
      <c r="C34" s="17" t="n"/>
      <c r="D34" s="17" t="n"/>
      <c r="E34" s="11" t="n"/>
      <c r="F34" s="17" t="n"/>
      <c r="G34" s="17" t="n"/>
      <c r="H34" s="17" t="n"/>
    </row>
    <row r="35" ht="28" customHeight="1">
      <c r="A35" s="14" t="n">
        <v>11</v>
      </c>
      <c r="B35" s="16" t="inlineStr">
        <is>
          <t>Country of manufacture and final assembly</t>
        </is>
      </c>
      <c r="C35" s="17" t="n"/>
      <c r="D35" s="17" t="n"/>
      <c r="E35" s="11" t="n"/>
      <c r="F35" s="17" t="n"/>
      <c r="G35" s="17" t="n"/>
      <c r="H35" s="17" t="n"/>
    </row>
    <row r="36" ht="28" customHeight="1">
      <c r="A36" s="14" t="n">
        <v>12</v>
      </c>
      <c r="B36" s="16" t="inlineStr">
        <is>
          <t>Payment terms</t>
        </is>
      </c>
      <c r="C36" s="17" t="n"/>
      <c r="D36" s="17" t="n"/>
      <c r="E36" s="11" t="n"/>
      <c r="F36" s="17" t="n"/>
      <c r="G36" s="17" t="n"/>
      <c r="H36" s="17" t="n"/>
    </row>
    <row r="37" ht="28" customHeight="1">
      <c r="A37" s="14" t="n">
        <v>13</v>
      </c>
      <c r="B37" s="16" t="inlineStr">
        <is>
          <t>Exceptions, deviations and clarifications to the specification</t>
        </is>
      </c>
      <c r="C37" s="17" t="n"/>
      <c r="D37" s="17" t="n"/>
      <c r="E37" s="11" t="n"/>
      <c r="F37" s="17" t="n"/>
      <c r="G37" s="17" t="n"/>
      <c r="H37" s="17" t="n"/>
    </row>
    <row r="39" ht="22" customHeight="1">
      <c r="A39" s="8" t="inlineStr">
        <is>
          <t>D · Attachments sent with this RFQ</t>
        </is>
      </c>
    </row>
    <row r="40">
      <c r="A40" s="16" t="inlineStr">
        <is>
          <t>☐  Single-line diagram</t>
        </is>
      </c>
    </row>
    <row r="41">
      <c r="A41" s="16" t="inlineStr">
        <is>
          <t>☐  Specification sections</t>
        </is>
      </c>
    </row>
    <row r="42">
      <c r="A42" s="16" t="inlineStr">
        <is>
          <t>☐  Layout / site drawings</t>
        </is>
      </c>
    </row>
    <row r="43">
      <c r="A43" s="16" t="inlineStr">
        <is>
          <t>☐  Utility or authority requirements</t>
        </is>
      </c>
    </row>
    <row r="45">
      <c r="A45" s="7" t="inlineStr">
        <is>
          <t>Free resource from CANDRON Energy Inc. · switchgear, switchboards and transformers designed, built and tested in Toronto · candron.com · +1 (647) 616-2595</t>
        </is>
      </c>
    </row>
  </sheetData>
  <mergeCells count="55">
    <mergeCell ref="E26:H26"/>
    <mergeCell ref="C6:D6"/>
    <mergeCell ref="F5:H5"/>
    <mergeCell ref="A39:H39"/>
    <mergeCell ref="C5:D5"/>
    <mergeCell ref="F8:H8"/>
    <mergeCell ref="E25:H25"/>
    <mergeCell ref="A45:H45"/>
    <mergeCell ref="B29:D29"/>
    <mergeCell ref="E32:H32"/>
    <mergeCell ref="A6:B6"/>
    <mergeCell ref="E37:H37"/>
    <mergeCell ref="B34:D34"/>
    <mergeCell ref="B28:D28"/>
    <mergeCell ref="B37:D37"/>
    <mergeCell ref="C10:D10"/>
    <mergeCell ref="A7:B7"/>
    <mergeCell ref="A41:H41"/>
    <mergeCell ref="B30:D30"/>
    <mergeCell ref="F9:H9"/>
    <mergeCell ref="C9:D9"/>
    <mergeCell ref="E33:H33"/>
    <mergeCell ref="E24:H24"/>
    <mergeCell ref="B24:D24"/>
    <mergeCell ref="A12:H12"/>
    <mergeCell ref="B33:D33"/>
    <mergeCell ref="B36:D36"/>
    <mergeCell ref="E35:H35"/>
    <mergeCell ref="B32:D32"/>
    <mergeCell ref="B35:D35"/>
    <mergeCell ref="A5:B5"/>
    <mergeCell ref="B26:D26"/>
    <mergeCell ref="A42:H42"/>
    <mergeCell ref="E29:H29"/>
    <mergeCell ref="A23:H23"/>
    <mergeCell ref="A8:B8"/>
    <mergeCell ref="B25:D25"/>
    <mergeCell ref="E28:H28"/>
    <mergeCell ref="C8:D8"/>
    <mergeCell ref="A40:H40"/>
    <mergeCell ref="A4:H4"/>
    <mergeCell ref="F10:H10"/>
    <mergeCell ref="F6:H6"/>
    <mergeCell ref="C7:D7"/>
    <mergeCell ref="E31:H31"/>
    <mergeCell ref="B31:D31"/>
    <mergeCell ref="A43:H43"/>
    <mergeCell ref="E34:H34"/>
    <mergeCell ref="A10:B10"/>
    <mergeCell ref="E30:H30"/>
    <mergeCell ref="B27:D27"/>
    <mergeCell ref="F7:H7"/>
    <mergeCell ref="A9:B9"/>
    <mergeCell ref="E27:H27"/>
    <mergeCell ref="E36:H36"/>
  </mergeCells>
  <printOptions horizontalCentered="1"/>
  <pageMargins left="0.4" right="0.4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8" customHeight="1">
      <c r="A1" s="1" t="inlineStr">
        <is>
          <t>Bid Comparison</t>
        </is>
      </c>
    </row>
    <row r="2">
      <c r="A2" s="2" t="inlineStr">
        <is>
          <t>Yellow cells are inputs. Price, lead time and warranty score automatically; give the rest a score from 1 to 5.</t>
        </is>
      </c>
    </row>
    <row r="4" ht="22" customHeight="1">
      <c r="A4" s="8" t="inlineStr">
        <is>
          <t>1 · Quote details</t>
        </is>
      </c>
    </row>
    <row r="5">
      <c r="A5" s="13" t="inlineStr">
        <is>
          <t>Quote detail</t>
        </is>
      </c>
      <c r="B5" s="15" t="n"/>
      <c r="C5" s="10" t="n"/>
      <c r="D5" s="13" t="inlineStr">
        <is>
          <t>Bidder 1</t>
        </is>
      </c>
      <c r="E5" s="13" t="inlineStr">
        <is>
          <t>Bidder 2</t>
        </is>
      </c>
      <c r="F5" s="13" t="inlineStr">
        <is>
          <t>Bidder 3</t>
        </is>
      </c>
      <c r="G5" s="13" t="inlineStr">
        <is>
          <t>Bidder 4</t>
        </is>
      </c>
      <c r="H5" s="13" t="inlineStr">
        <is>
          <t>Bidder 5</t>
        </is>
      </c>
    </row>
    <row r="6">
      <c r="A6" s="18" t="inlineStr">
        <is>
          <t>Bidder</t>
        </is>
      </c>
      <c r="B6" s="17" t="n"/>
      <c r="C6" s="17" t="n"/>
      <c r="D6" s="19" t="inlineStr">
        <is>
          <t>Bidder A (example)</t>
        </is>
      </c>
      <c r="E6" s="19" t="inlineStr">
        <is>
          <t>Bidder B (example)</t>
        </is>
      </c>
      <c r="F6" s="19" t="inlineStr">
        <is>
          <t>Bidder C (example)</t>
        </is>
      </c>
      <c r="G6" s="19" t="n"/>
      <c r="H6" s="19" t="n"/>
    </row>
    <row r="7">
      <c r="A7" s="18" t="inlineStr">
        <is>
          <t>Total price (CAD, before tax)</t>
        </is>
      </c>
      <c r="B7" s="17" t="n"/>
      <c r="C7" s="17" t="n"/>
      <c r="D7" s="20" t="n">
        <v>412000</v>
      </c>
      <c r="E7" s="20" t="n">
        <v>389000</v>
      </c>
      <c r="F7" s="20" t="n">
        <v>445000</v>
      </c>
      <c r="G7" s="20" t="n"/>
      <c r="H7" s="20" t="n"/>
    </row>
    <row r="8">
      <c r="A8" s="18" t="inlineStr">
        <is>
          <t>Lead time (weeks from approved drawings)</t>
        </is>
      </c>
      <c r="B8" s="17" t="n"/>
      <c r="C8" s="17" t="n"/>
      <c r="D8" s="21" t="n">
        <v>38</v>
      </c>
      <c r="E8" s="21" t="n">
        <v>56</v>
      </c>
      <c r="F8" s="21" t="n">
        <v>30</v>
      </c>
      <c r="G8" s="21" t="n"/>
      <c r="H8" s="21" t="n"/>
    </row>
    <row r="9">
      <c r="A9" s="18" t="inlineStr">
        <is>
          <t>Drawing turnaround (weeks)</t>
        </is>
      </c>
      <c r="B9" s="17" t="n"/>
      <c r="C9" s="17" t="n"/>
      <c r="D9" s="21" t="n">
        <v>3</v>
      </c>
      <c r="E9" s="21" t="n">
        <v>5</v>
      </c>
      <c r="F9" s="21" t="n">
        <v>2</v>
      </c>
      <c r="G9" s="21" t="n"/>
      <c r="H9" s="21" t="n"/>
    </row>
    <row r="10">
      <c r="A10" s="18" t="inlineStr">
        <is>
          <t>Warranty (months)</t>
        </is>
      </c>
      <c r="B10" s="17" t="n"/>
      <c r="C10" s="17" t="n"/>
      <c r="D10" s="21" t="n">
        <v>24</v>
      </c>
      <c r="E10" s="21" t="n">
        <v>18</v>
      </c>
      <c r="F10" s="21" t="n">
        <v>24</v>
      </c>
      <c r="G10" s="21" t="n"/>
      <c r="H10" s="21" t="n"/>
    </row>
    <row r="11">
      <c r="A11" s="18" t="inlineStr">
        <is>
          <t>Freight &amp; offload included? (Y/N)</t>
        </is>
      </c>
      <c r="B11" s="17" t="n"/>
      <c r="C11" s="17" t="n"/>
      <c r="D11" s="22" t="inlineStr">
        <is>
          <t>Y</t>
        </is>
      </c>
      <c r="E11" s="22" t="inlineStr">
        <is>
          <t>N</t>
        </is>
      </c>
      <c r="F11" s="22" t="inlineStr">
        <is>
          <t>Y</t>
        </is>
      </c>
      <c r="G11" s="22" t="n"/>
      <c r="H11" s="22" t="n"/>
    </row>
    <row r="12">
      <c r="A12" s="18" t="inlineStr">
        <is>
          <t>Witnessed FAT included? (Y/N)</t>
        </is>
      </c>
      <c r="B12" s="17" t="n"/>
      <c r="C12" s="17" t="n"/>
      <c r="D12" s="22" t="inlineStr">
        <is>
          <t>Y</t>
        </is>
      </c>
      <c r="E12" s="22" t="inlineStr">
        <is>
          <t>Y</t>
        </is>
      </c>
      <c r="F12" s="22" t="inlineStr">
        <is>
          <t>Y</t>
        </is>
      </c>
      <c r="G12" s="22" t="n"/>
      <c r="H12" s="22" t="n"/>
    </row>
    <row r="13">
      <c r="A13" s="18" t="inlineStr">
        <is>
          <t>Number of exceptions to the spec</t>
        </is>
      </c>
      <c r="B13" s="17" t="n"/>
      <c r="C13" s="17" t="n"/>
      <c r="D13" s="21" t="n">
        <v>2</v>
      </c>
      <c r="E13" s="21" t="n">
        <v>5</v>
      </c>
      <c r="F13" s="21" t="n">
        <v>1</v>
      </c>
      <c r="G13" s="21" t="n"/>
      <c r="H13" s="21" t="n"/>
    </row>
    <row r="14">
      <c r="A14" s="18" t="inlineStr">
        <is>
          <t>Country of manufacture</t>
        </is>
      </c>
      <c r="B14" s="17" t="n"/>
      <c r="C14" s="17" t="n"/>
      <c r="D14" s="22" t="inlineStr">
        <is>
          <t>Canada</t>
        </is>
      </c>
      <c r="E14" s="22" t="inlineStr">
        <is>
          <t>Imported</t>
        </is>
      </c>
      <c r="F14" s="22" t="inlineStr">
        <is>
          <t>Canada</t>
        </is>
      </c>
      <c r="G14" s="22" t="n"/>
      <c r="H14" s="22" t="n"/>
    </row>
    <row r="15">
      <c r="A15" s="18" t="inlineStr">
        <is>
          <t>Price validity (days)</t>
        </is>
      </c>
      <c r="B15" s="17" t="n"/>
      <c r="C15" s="17" t="n"/>
      <c r="D15" s="21" t="n">
        <v>30</v>
      </c>
      <c r="E15" s="21" t="n">
        <v>45</v>
      </c>
      <c r="F15" s="21" t="n">
        <v>30</v>
      </c>
      <c r="G15" s="21" t="n"/>
      <c r="H15" s="21" t="n"/>
    </row>
    <row r="17" ht="22" customHeight="1">
      <c r="A17" s="8" t="inlineStr">
        <is>
          <t>2 · Weighted scoring</t>
        </is>
      </c>
    </row>
    <row r="18" ht="30" customHeight="1">
      <c r="A18" s="13" t="inlineStr">
        <is>
          <t>Criterion</t>
        </is>
      </c>
      <c r="B18" s="13" t="inlineStr">
        <is>
          <t>Weight</t>
        </is>
      </c>
      <c r="C18" s="13" t="inlineStr">
        <is>
          <t>How it is scored</t>
        </is>
      </c>
      <c r="D18" s="13" t="inlineStr">
        <is>
          <t>Score 1–5 · Bidder 1</t>
        </is>
      </c>
      <c r="E18" s="13" t="inlineStr">
        <is>
          <t>Score 1–5 · Bidder 2</t>
        </is>
      </c>
      <c r="F18" s="13" t="inlineStr">
        <is>
          <t>Score 1–5 · Bidder 3</t>
        </is>
      </c>
      <c r="G18" s="13" t="inlineStr">
        <is>
          <t>Score 1–5 · Bidder 4</t>
        </is>
      </c>
      <c r="H18" s="13" t="inlineStr">
        <is>
          <t>Score 1–5 · Bidder 5</t>
        </is>
      </c>
    </row>
    <row r="19" ht="30" customHeight="1">
      <c r="A19" s="18" t="inlineStr">
        <is>
          <t>Price</t>
        </is>
      </c>
      <c r="B19" s="23" t="n">
        <v>0.35</v>
      </c>
      <c r="C19" s="24" t="inlineStr">
        <is>
          <t>Lowest total price scores 5; others pro rata</t>
        </is>
      </c>
      <c r="D19" s="25">
        <f>IF(D7&gt;0,ROUND(MIN($D$7:$H$7)/D7*5,2),"")</f>
        <v/>
      </c>
      <c r="E19" s="25">
        <f>IF(E7&gt;0,ROUND(MIN($D$7:$H$7)/E7*5,2),"")</f>
        <v/>
      </c>
      <c r="F19" s="25">
        <f>IF(F7&gt;0,ROUND(MIN($D$7:$H$7)/F7*5,2),"")</f>
        <v/>
      </c>
      <c r="G19" s="25">
        <f>IF(G7&gt;0,ROUND(MIN($D$7:$H$7)/G7*5,2),"")</f>
        <v/>
      </c>
      <c r="H19" s="25">
        <f>IF(H7&gt;0,ROUND(MIN($D$7:$H$7)/H7*5,2),"")</f>
        <v/>
      </c>
    </row>
    <row r="20" ht="30" customHeight="1">
      <c r="A20" s="18" t="inlineStr">
        <is>
          <t>Lead time</t>
        </is>
      </c>
      <c r="B20" s="23" t="n">
        <v>0.25</v>
      </c>
      <c r="C20" s="24" t="inlineStr">
        <is>
          <t>Shortest lead time scores 5; others pro rata</t>
        </is>
      </c>
      <c r="D20" s="25">
        <f>IF(D8&gt;0,ROUND(MIN($D$8:$H$8)/D8*5,2),"")</f>
        <v/>
      </c>
      <c r="E20" s="25">
        <f>IF(E8&gt;0,ROUND(MIN($D$8:$H$8)/E8*5,2),"")</f>
        <v/>
      </c>
      <c r="F20" s="25">
        <f>IF(F8&gt;0,ROUND(MIN($D$8:$H$8)/F8*5,2),"")</f>
        <v/>
      </c>
      <c r="G20" s="25">
        <f>IF(G8&gt;0,ROUND(MIN($D$8:$H$8)/G8*5,2),"")</f>
        <v/>
      </c>
      <c r="H20" s="25">
        <f>IF(H8&gt;0,ROUND(MIN($D$8:$H$8)/H8*5,2),"")</f>
        <v/>
      </c>
    </row>
    <row r="21" ht="30" customHeight="1">
      <c r="A21" s="18" t="inlineStr">
        <is>
          <t>Technical compliance</t>
        </is>
      </c>
      <c r="B21" s="23" t="n">
        <v>0.15</v>
      </c>
      <c r="C21" s="24" t="inlineStr">
        <is>
          <t>1–5: meets the specification with no technical deviations</t>
        </is>
      </c>
      <c r="D21" s="21" t="n">
        <v>5</v>
      </c>
      <c r="E21" s="21" t="n">
        <v>4</v>
      </c>
      <c r="F21" s="21" t="n">
        <v>5</v>
      </c>
      <c r="G21" s="21" t="n"/>
      <c r="H21" s="21" t="n"/>
    </row>
    <row r="22" ht="30" customHeight="1">
      <c r="A22" s="18" t="inlineStr">
        <is>
          <t>Exceptions &amp; commercial terms</t>
        </is>
      </c>
      <c r="B22" s="23" t="n">
        <v>0.1</v>
      </c>
      <c r="C22" s="24" t="inlineStr">
        <is>
          <t>1–5: fewer exceptions and clearer terms score higher</t>
        </is>
      </c>
      <c r="D22" s="21" t="n">
        <v>4</v>
      </c>
      <c r="E22" s="21" t="n">
        <v>3</v>
      </c>
      <c r="F22" s="21" t="n">
        <v>5</v>
      </c>
      <c r="G22" s="21" t="n"/>
      <c r="H22" s="21" t="n"/>
    </row>
    <row r="23" ht="30" customHeight="1">
      <c r="A23" s="18" t="inlineStr">
        <is>
          <t>Warranty &amp; support</t>
        </is>
      </c>
      <c r="B23" s="23" t="n">
        <v>0.05</v>
      </c>
      <c r="C23" s="24" t="inlineStr">
        <is>
          <t>Longest warranty scores 5; others pro rata</t>
        </is>
      </c>
      <c r="D23" s="25">
        <f>IF(D10&gt;0,ROUND(D10/MAX($D$10:$H$10)*5,2),"")</f>
        <v/>
      </c>
      <c r="E23" s="25">
        <f>IF(E10&gt;0,ROUND(E10/MAX($D$10:$H$10)*5,2),"")</f>
        <v/>
      </c>
      <c r="F23" s="25">
        <f>IF(F10&gt;0,ROUND(F10/MAX($D$10:$H$10)*5,2),"")</f>
        <v/>
      </c>
      <c r="G23" s="25">
        <f>IF(G10&gt;0,ROUND(G10/MAX($D$10:$H$10)*5,2),"")</f>
        <v/>
      </c>
      <c r="H23" s="25">
        <f>IF(H10&gt;0,ROUND(H10/MAX($D$10:$H$10)*5,2),"")</f>
        <v/>
      </c>
    </row>
    <row r="24" ht="30" customHeight="1">
      <c r="A24" s="18" t="inlineStr">
        <is>
          <t>Testing &amp; documentation</t>
        </is>
      </c>
      <c r="B24" s="23" t="n">
        <v>0.05</v>
      </c>
      <c r="C24" s="24" t="inlineStr">
        <is>
          <t>1–5: witnessed FAT, test reports, drawings and manuals included</t>
        </is>
      </c>
      <c r="D24" s="21" t="n">
        <v>5</v>
      </c>
      <c r="E24" s="21" t="n">
        <v>4</v>
      </c>
      <c r="F24" s="21" t="n">
        <v>5</v>
      </c>
      <c r="G24" s="21" t="n"/>
      <c r="H24" s="21" t="n"/>
    </row>
    <row r="25" ht="30" customHeight="1">
      <c r="A25" s="18" t="inlineStr">
        <is>
          <t>Supplier track record</t>
        </is>
      </c>
      <c r="B25" s="23" t="n">
        <v>0.05</v>
      </c>
      <c r="C25" s="24" t="inlineStr">
        <is>
          <t>1–5: references, past performance, local service</t>
        </is>
      </c>
      <c r="D25" s="21" t="n">
        <v>4</v>
      </c>
      <c r="E25" s="21" t="n">
        <v>4</v>
      </c>
      <c r="F25" s="21" t="n">
        <v>3</v>
      </c>
      <c r="G25" s="21" t="n"/>
      <c r="H25" s="21" t="n"/>
    </row>
    <row r="26">
      <c r="A26" s="18" t="inlineStr">
        <is>
          <t>Weights total (must be 100%)</t>
        </is>
      </c>
      <c r="B26" s="26">
        <f>SUM(B19:B25)</f>
        <v/>
      </c>
      <c r="C26" s="24">
        <f>IF(ROUND(B26,4)=1,"OK","Adjust weights to total 100%")</f>
        <v/>
      </c>
    </row>
    <row r="28" ht="22" customHeight="1">
      <c r="A28" s="8" t="inlineStr">
        <is>
          <t>3 · Result</t>
        </is>
      </c>
    </row>
    <row r="29">
      <c r="A29" s="18" t="inlineStr">
        <is>
          <t>Weighted score (out of 100)</t>
        </is>
      </c>
      <c r="B29" s="15" t="n"/>
      <c r="C29" s="10" t="n"/>
      <c r="D29" s="27">
        <f>IF(COUNT(D19:D25)=0,"",ROUND(SUMPRODUCT($B$19:$B$25,D19:D25)/5*100,1))</f>
        <v/>
      </c>
      <c r="E29" s="27">
        <f>IF(COUNT(E19:E25)=0,"",ROUND(SUMPRODUCT($B$19:$B$25,E19:E25)/5*100,1))</f>
        <v/>
      </c>
      <c r="F29" s="27">
        <f>IF(COUNT(F19:F25)=0,"",ROUND(SUMPRODUCT($B$19:$B$25,F19:F25)/5*100,1))</f>
        <v/>
      </c>
      <c r="G29" s="27">
        <f>IF(COUNT(G19:G25)=0,"",ROUND(SUMPRODUCT($B$19:$B$25,G19:G25)/5*100,1))</f>
        <v/>
      </c>
      <c r="H29" s="27">
        <f>IF(COUNT(H19:H25)=0,"",ROUND(SUMPRODUCT($B$19:$B$25,H19:H25)/5*100,1))</f>
        <v/>
      </c>
    </row>
    <row r="30">
      <c r="A30" s="18" t="inlineStr">
        <is>
          <t>Rank</t>
        </is>
      </c>
      <c r="B30" s="15" t="n"/>
      <c r="C30" s="10" t="n"/>
      <c r="D30" s="28">
        <f>IF(D29="","",RANK(D29,$D$29:$H$29))</f>
        <v/>
      </c>
      <c r="E30" s="28">
        <f>IF(E29="","",RANK(E29,$D$29:$H$29))</f>
        <v/>
      </c>
      <c r="F30" s="28">
        <f>IF(F29="","",RANK(F29,$D$29:$H$29))</f>
        <v/>
      </c>
      <c r="G30" s="28">
        <f>IF(G29="","",RANK(G29,$D$29:$H$29))</f>
        <v/>
      </c>
      <c r="H30" s="28">
        <f>IF(H29="","",RANK(H29,$D$29:$H$29))</f>
        <v/>
      </c>
    </row>
    <row r="31" ht="46" customHeight="1">
      <c r="A31" s="18" t="inlineStr">
        <is>
          <t>Notes on the decision</t>
        </is>
      </c>
      <c r="B31" s="15" t="n"/>
      <c r="C31" s="10" t="n"/>
      <c r="D31" s="11" t="n"/>
    </row>
    <row r="33">
      <c r="A33" s="7" t="inlineStr">
        <is>
          <t>Free resource from CANDRON Energy Inc. · switchgear, switchboards and transformers designed, built and tested in Toronto · candron.com · +1 (647) 616-2595</t>
        </is>
      </c>
    </row>
  </sheetData>
  <mergeCells count="19">
    <mergeCell ref="D31:H31"/>
    <mergeCell ref="A12:C12"/>
    <mergeCell ref="A5:C5"/>
    <mergeCell ref="A8:C8"/>
    <mergeCell ref="A14:C14"/>
    <mergeCell ref="A29:C29"/>
    <mergeCell ref="A10:C10"/>
    <mergeCell ref="A13:C13"/>
    <mergeCell ref="A31:C31"/>
    <mergeCell ref="A9:C9"/>
    <mergeCell ref="A33:H33"/>
    <mergeCell ref="A30:C30"/>
    <mergeCell ref="A15:C15"/>
    <mergeCell ref="A17:H17"/>
    <mergeCell ref="A4:H4"/>
    <mergeCell ref="A11:C11"/>
    <mergeCell ref="A6:C6"/>
    <mergeCell ref="A28:H28"/>
    <mergeCell ref="A7:C7"/>
  </mergeCells>
  <conditionalFormatting sqref="B26">
    <cfRule type="expression" priority="1" dxfId="0">
      <formula>ROUND(B26,4)&lt;&gt;1</formula>
    </cfRule>
  </conditionalFormatting>
  <conditionalFormatting sqref="D29:H29">
    <cfRule type="expression" priority="2" dxfId="1">
      <formula>AND(D29&lt;&gt;"",D29=MAX($D$29:$H$29))</formula>
    </cfRule>
  </conditionalFormatting>
  <dataValidations count="2">
    <dataValidation sqref="D11 D12 E11 E12 F11 F12 G11 G12 H11 H12" showDropDown="0" showInputMessage="0" showErrorMessage="0" allowBlank="1" type="list">
      <formula1>"Y,N"</formula1>
    </dataValidation>
    <dataValidation sqref="D21 D22 D24 D25 E21 E22 E24 E25 F21 F22 F24 F25 G21 G22 G24 G25 H21 H22 H24 H25" showDropDown="0" showInputMessage="0" showErrorMessage="1" allowBlank="1" errorTitle="Score 1 to 5" error="Enter a whole number from 1 to 5." type="whole" operator="between">
      <formula1>1</formula1>
      <formula2>5</formula2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3" customWidth="1" min="4" max="4"/>
    <col width="44" customWidth="1" min="5" max="5"/>
    <col width="13" customWidth="1" min="6" max="6"/>
    <col width="30" customWidth="1" min="7" max="7"/>
  </cols>
  <sheetData>
    <row r="1" ht="28" customHeight="1">
      <c r="A1" s="1" t="inlineStr">
        <is>
          <t>Clarifications Log</t>
        </is>
      </c>
    </row>
    <row r="2">
      <c r="A2" s="2" t="inlineStr">
        <is>
          <t>Send every answer to every bidder. Note any change to price or lead time.</t>
        </is>
      </c>
    </row>
    <row r="4" ht="30" customHeight="1">
      <c r="A4" s="13" t="inlineStr">
        <is>
          <t>#</t>
        </is>
      </c>
      <c r="B4" s="13" t="inlineStr">
        <is>
          <t>Bidder</t>
        </is>
      </c>
      <c r="C4" s="13" t="inlineStr">
        <is>
          <t>Question</t>
        </is>
      </c>
      <c r="D4" s="13" t="inlineStr">
        <is>
          <t>Date asked</t>
        </is>
      </c>
      <c r="E4" s="13" t="inlineStr">
        <is>
          <t>Answer (sent to all bidders)</t>
        </is>
      </c>
      <c r="F4" s="13" t="inlineStr">
        <is>
          <t>Date answered</t>
        </is>
      </c>
      <c r="G4" s="13" t="inlineStr">
        <is>
          <t>Impact on price / lead time</t>
        </is>
      </c>
    </row>
    <row r="5" ht="22" customHeight="1">
      <c r="A5" s="14" t="n">
        <v>1</v>
      </c>
      <c r="B5" s="11" t="n"/>
      <c r="C5" s="11" t="n"/>
      <c r="D5" s="29" t="n"/>
      <c r="E5" s="11" t="n"/>
      <c r="F5" s="29" t="n"/>
      <c r="G5" s="11" t="n"/>
    </row>
    <row r="6" ht="22" customHeight="1">
      <c r="A6" s="14" t="n">
        <v>2</v>
      </c>
      <c r="B6" s="11" t="n"/>
      <c r="C6" s="11" t="n"/>
      <c r="D6" s="29" t="n"/>
      <c r="E6" s="11" t="n"/>
      <c r="F6" s="29" t="n"/>
      <c r="G6" s="11" t="n"/>
    </row>
    <row r="7" ht="22" customHeight="1">
      <c r="A7" s="14" t="n">
        <v>3</v>
      </c>
      <c r="B7" s="11" t="n"/>
      <c r="C7" s="11" t="n"/>
      <c r="D7" s="29" t="n"/>
      <c r="E7" s="11" t="n"/>
      <c r="F7" s="29" t="n"/>
      <c r="G7" s="11" t="n"/>
    </row>
    <row r="8" ht="22" customHeight="1">
      <c r="A8" s="14" t="n">
        <v>4</v>
      </c>
      <c r="B8" s="11" t="n"/>
      <c r="C8" s="11" t="n"/>
      <c r="D8" s="29" t="n"/>
      <c r="E8" s="11" t="n"/>
      <c r="F8" s="29" t="n"/>
      <c r="G8" s="11" t="n"/>
    </row>
    <row r="9" ht="22" customHeight="1">
      <c r="A9" s="14" t="n">
        <v>5</v>
      </c>
      <c r="B9" s="11" t="n"/>
      <c r="C9" s="11" t="n"/>
      <c r="D9" s="29" t="n"/>
      <c r="E9" s="11" t="n"/>
      <c r="F9" s="29" t="n"/>
      <c r="G9" s="11" t="n"/>
    </row>
    <row r="10" ht="22" customHeight="1">
      <c r="A10" s="14" t="n">
        <v>6</v>
      </c>
      <c r="B10" s="11" t="n"/>
      <c r="C10" s="11" t="n"/>
      <c r="D10" s="29" t="n"/>
      <c r="E10" s="11" t="n"/>
      <c r="F10" s="29" t="n"/>
      <c r="G10" s="11" t="n"/>
    </row>
    <row r="11" ht="22" customHeight="1">
      <c r="A11" s="14" t="n">
        <v>7</v>
      </c>
      <c r="B11" s="11" t="n"/>
      <c r="C11" s="11" t="n"/>
      <c r="D11" s="29" t="n"/>
      <c r="E11" s="11" t="n"/>
      <c r="F11" s="29" t="n"/>
      <c r="G11" s="11" t="n"/>
    </row>
    <row r="12" ht="22" customHeight="1">
      <c r="A12" s="14" t="n">
        <v>8</v>
      </c>
      <c r="B12" s="11" t="n"/>
      <c r="C12" s="11" t="n"/>
      <c r="D12" s="29" t="n"/>
      <c r="E12" s="11" t="n"/>
      <c r="F12" s="29" t="n"/>
      <c r="G12" s="11" t="n"/>
    </row>
    <row r="13" ht="22" customHeight="1">
      <c r="A13" s="14" t="n">
        <v>9</v>
      </c>
      <c r="B13" s="11" t="n"/>
      <c r="C13" s="11" t="n"/>
      <c r="D13" s="29" t="n"/>
      <c r="E13" s="11" t="n"/>
      <c r="F13" s="29" t="n"/>
      <c r="G13" s="11" t="n"/>
    </row>
    <row r="14" ht="22" customHeight="1">
      <c r="A14" s="14" t="n">
        <v>10</v>
      </c>
      <c r="B14" s="11" t="n"/>
      <c r="C14" s="11" t="n"/>
      <c r="D14" s="29" t="n"/>
      <c r="E14" s="11" t="n"/>
      <c r="F14" s="29" t="n"/>
      <c r="G14" s="11" t="n"/>
    </row>
    <row r="15" ht="22" customHeight="1">
      <c r="A15" s="14" t="n">
        <v>11</v>
      </c>
      <c r="B15" s="11" t="n"/>
      <c r="C15" s="11" t="n"/>
      <c r="D15" s="29" t="n"/>
      <c r="E15" s="11" t="n"/>
      <c r="F15" s="29" t="n"/>
      <c r="G15" s="11" t="n"/>
    </row>
    <row r="16" ht="22" customHeight="1">
      <c r="A16" s="14" t="n">
        <v>12</v>
      </c>
      <c r="B16" s="11" t="n"/>
      <c r="C16" s="11" t="n"/>
      <c r="D16" s="29" t="n"/>
      <c r="E16" s="11" t="n"/>
      <c r="F16" s="29" t="n"/>
      <c r="G16" s="11" t="n"/>
    </row>
    <row r="17" ht="22" customHeight="1">
      <c r="A17" s="14" t="n">
        <v>13</v>
      </c>
      <c r="B17" s="11" t="n"/>
      <c r="C17" s="11" t="n"/>
      <c r="D17" s="29" t="n"/>
      <c r="E17" s="11" t="n"/>
      <c r="F17" s="29" t="n"/>
      <c r="G17" s="11" t="n"/>
    </row>
    <row r="18" ht="22" customHeight="1">
      <c r="A18" s="14" t="n">
        <v>14</v>
      </c>
      <c r="B18" s="11" t="n"/>
      <c r="C18" s="11" t="n"/>
      <c r="D18" s="29" t="n"/>
      <c r="E18" s="11" t="n"/>
      <c r="F18" s="29" t="n"/>
      <c r="G18" s="11" t="n"/>
    </row>
    <row r="19" ht="22" customHeight="1">
      <c r="A19" s="14" t="n">
        <v>15</v>
      </c>
      <c r="B19" s="11" t="n"/>
      <c r="C19" s="11" t="n"/>
      <c r="D19" s="29" t="n"/>
      <c r="E19" s="11" t="n"/>
      <c r="F19" s="29" t="n"/>
      <c r="G19" s="11" t="n"/>
    </row>
    <row r="21">
      <c r="A21" s="7" t="inlineStr">
        <is>
          <t>Free resource from CANDRON Energy Inc. · switchgear, switchboards and transformers designed, built and tested in Toronto · candron.com · +1 (647) 616-2595</t>
        </is>
      </c>
    </row>
  </sheetData>
  <mergeCells count="1">
    <mergeCell ref="A21:G21"/>
  </mergeCells>
  <printOptions horizontalCentered="1"/>
  <pageMargins left="0.4" right="0.4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2026-10-28T10:07:34Z</dcterms:created>
  <dcterms:modified xmlns:dcterms="http://purl.org/dc/terms/" xmlns:xsi="http://www.w3.org/2001/XMLSchema-instance" xsi:type="dcterms:W3CDTF">2026-10-28T10:07:34Z</dcterms:modified>
</cp:coreProperties>
</file>